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>
    <definedName hidden="1" localSheetId="0" name="_xlnm._FilterDatabase">Sheet1!$A$24:$C$35</definedName>
    <definedName hidden="1" localSheetId="0" name="Z_952C4BE2_AB24_4E60_A6BC_58262F1B9AF2_.wvu.FilterData">Sheet1!$A$3:$B$40</definedName>
    <definedName hidden="1" localSheetId="0" name="Z_89F67822_FEE1_4BDD_85D1_A51E3FD82BB0_.wvu.FilterData">Sheet1!$A$1:$B$40</definedName>
    <definedName hidden="1" localSheetId="0" name="Z_76C42550_71BB_475F_8409_FD4BBF9A8BBF_.wvu.FilterData">Sheet1!$A$1:$B$40</definedName>
  </definedNames>
  <calcPr/>
  <customWorkbookViews>
    <customWorkbookView activeSheetId="0" maximized="1" windowHeight="0" windowWidth="0" guid="{89F67822-FEE1-4BDD-85D1-A51E3FD82BB0}" name="Filter 2"/>
    <customWorkbookView activeSheetId="0" maximized="1" windowHeight="0" windowWidth="0" guid="{76C42550-71BB-475F-8409-FD4BBF9A8BBF}" name="Filter 3"/>
    <customWorkbookView activeSheetId="0" maximized="1" windowHeight="0" windowWidth="0" guid="{952C4BE2-AB24-4E60-A6BC-58262F1B9AF2}" name="Filter 1"/>
  </customWorkbookViews>
</workbook>
</file>

<file path=xl/sharedStrings.xml><?xml version="1.0" encoding="utf-8"?>
<sst xmlns="http://schemas.openxmlformats.org/spreadsheetml/2006/main" count="21" uniqueCount="11">
  <si>
    <t>Comments</t>
  </si>
  <si>
    <t>Date</t>
  </si>
  <si>
    <t>Number of Words</t>
  </si>
  <si>
    <t>Aggregate</t>
  </si>
  <si>
    <t>Average</t>
  </si>
  <si>
    <t>Sum</t>
  </si>
  <si>
    <t>Research Paper</t>
  </si>
  <si>
    <t>Document</t>
  </si>
  <si>
    <t>RPTP</t>
  </si>
  <si>
    <t>RP</t>
  </si>
  <si>
    <t>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</si>
</sst>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"/>
  </numFmts>
  <fonts count="3">
    <font>
      <sz val="10.0"/>
      <color rgb="FF000000"/>
      <name val="Arial"/>
    </font>
    <font/>
    <font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Number of Words and Aggregate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Sheet1!$B$1:$B$2</c:f>
            </c:strRef>
          </c:tx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Sheet1!$A$3:$A$20</c:f>
            </c:strRef>
          </c:cat>
          <c:val>
            <c:numRef>
              <c:f>Sheet1!$B$3:$B$20</c:f>
              <c:numCache/>
            </c:numRef>
          </c:val>
        </c:ser>
        <c:overlap val="100"/>
        <c:axId val="905623082"/>
        <c:axId val="989574287"/>
      </c:barChart>
      <c:catAx>
        <c:axId val="905623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9574287"/>
      </c:catAx>
      <c:valAx>
        <c:axId val="989574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5623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1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15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2">
        <v>43129.0</v>
      </c>
      <c r="B3" s="1">
        <v>245.0</v>
      </c>
      <c r="C3">
        <f>B3</f>
        <v>245</v>
      </c>
    </row>
    <row r="4">
      <c r="A4" s="2">
        <v>43131.0</v>
      </c>
      <c r="B4" s="1">
        <v>464.0</v>
      </c>
      <c r="C4">
        <f t="shared" ref="C4:C20" si="1">B4+C3</f>
        <v>709</v>
      </c>
    </row>
    <row r="5">
      <c r="A5" s="2">
        <v>43133.0</v>
      </c>
      <c r="B5" s="1">
        <v>543.0</v>
      </c>
      <c r="C5">
        <f t="shared" si="1"/>
        <v>1252</v>
      </c>
    </row>
    <row r="6">
      <c r="A6" s="2">
        <v>43136.0</v>
      </c>
      <c r="B6" s="1">
        <v>336.0</v>
      </c>
      <c r="C6">
        <f t="shared" si="1"/>
        <v>1588</v>
      </c>
    </row>
    <row r="7">
      <c r="A7" s="2">
        <v>43138.0</v>
      </c>
      <c r="B7" s="1">
        <v>249.0</v>
      </c>
      <c r="C7">
        <f t="shared" si="1"/>
        <v>1837</v>
      </c>
    </row>
    <row r="8">
      <c r="A8" s="2">
        <v>43140.0</v>
      </c>
      <c r="B8" s="1">
        <v>146.0</v>
      </c>
      <c r="C8">
        <f t="shared" si="1"/>
        <v>1983</v>
      </c>
    </row>
    <row r="9">
      <c r="A9" s="2">
        <v>43143.0</v>
      </c>
      <c r="B9" s="1">
        <v>511.0</v>
      </c>
      <c r="C9">
        <f t="shared" si="1"/>
        <v>2494</v>
      </c>
    </row>
    <row r="10">
      <c r="A10" s="2">
        <v>43145.0</v>
      </c>
      <c r="B10" s="1">
        <v>509.0</v>
      </c>
      <c r="C10">
        <f t="shared" si="1"/>
        <v>3003</v>
      </c>
    </row>
    <row r="11">
      <c r="A11" s="2">
        <v>43150.0</v>
      </c>
      <c r="B11" s="1">
        <v>372.0</v>
      </c>
      <c r="C11">
        <f t="shared" si="1"/>
        <v>3375</v>
      </c>
    </row>
    <row r="12">
      <c r="A12" s="2">
        <v>43152.0</v>
      </c>
      <c r="B12" s="1">
        <v>1470.0</v>
      </c>
      <c r="C12">
        <f t="shared" si="1"/>
        <v>4845</v>
      </c>
    </row>
    <row r="13">
      <c r="A13" s="2">
        <v>43157.0</v>
      </c>
      <c r="B13" s="1">
        <v>454.0</v>
      </c>
      <c r="C13">
        <f t="shared" si="1"/>
        <v>5299</v>
      </c>
    </row>
    <row r="14">
      <c r="A14" s="2">
        <v>43159.0</v>
      </c>
      <c r="B14" s="1">
        <v>615.0</v>
      </c>
      <c r="C14">
        <f t="shared" si="1"/>
        <v>5914</v>
      </c>
    </row>
    <row r="15">
      <c r="A15" s="2">
        <v>43164.0</v>
      </c>
      <c r="B15" s="1">
        <v>385.0</v>
      </c>
      <c r="C15">
        <f t="shared" si="1"/>
        <v>6299</v>
      </c>
    </row>
    <row r="16">
      <c r="A16" s="2">
        <v>43166.0</v>
      </c>
      <c r="B16" s="1">
        <v>393.0</v>
      </c>
      <c r="C16">
        <f t="shared" si="1"/>
        <v>6692</v>
      </c>
    </row>
    <row r="17">
      <c r="A17" s="2">
        <v>43168.0</v>
      </c>
      <c r="B17" s="1">
        <v>372.0</v>
      </c>
      <c r="C17">
        <f t="shared" si="1"/>
        <v>7064</v>
      </c>
    </row>
    <row r="18">
      <c r="A18" s="2">
        <v>43171.0</v>
      </c>
      <c r="B18" s="1">
        <v>493.0</v>
      </c>
      <c r="C18">
        <f t="shared" si="1"/>
        <v>7557</v>
      </c>
    </row>
    <row r="19">
      <c r="A19" s="2">
        <v>43173.0</v>
      </c>
      <c r="B19" s="1">
        <v>486.0</v>
      </c>
      <c r="C19">
        <f t="shared" si="1"/>
        <v>8043</v>
      </c>
    </row>
    <row r="20">
      <c r="A20" s="2">
        <v>43175.0</v>
      </c>
      <c r="B20" s="1">
        <v>521.0</v>
      </c>
      <c r="C20">
        <f t="shared" si="1"/>
        <v>8564</v>
      </c>
    </row>
    <row r="21">
      <c r="A21" s="1" t="s">
        <v>4</v>
      </c>
      <c r="B21">
        <f>AVERAGE(B3:B20)</f>
        <v>475.7777778</v>
      </c>
    </row>
    <row r="22">
      <c r="A22" s="1" t="s">
        <v>5</v>
      </c>
      <c r="B22">
        <f>SUM(B3:B20)</f>
        <v>8564</v>
      </c>
    </row>
    <row r="23">
      <c r="A23" s="1" t="s">
        <v>6</v>
      </c>
    </row>
    <row r="24">
      <c r="A24" s="1" t="s">
        <v>1</v>
      </c>
      <c r="B24" s="1" t="s">
        <v>2</v>
      </c>
      <c r="C24" s="1" t="s">
        <v>7</v>
      </c>
      <c r="D24" s="3"/>
    </row>
    <row r="25">
      <c r="A25" s="2">
        <v>43143.0</v>
      </c>
      <c r="B25" s="1">
        <v>391.0</v>
      </c>
      <c r="C25" s="1" t="s">
        <v>8</v>
      </c>
      <c r="D25" s="3">
        <f>SUM(B25:B27)</f>
        <v>1103</v>
      </c>
    </row>
    <row r="26">
      <c r="A26" s="2">
        <v>43150.0</v>
      </c>
      <c r="B26" s="1">
        <v>399.0</v>
      </c>
      <c r="C26" s="1" t="s">
        <v>8</v>
      </c>
      <c r="D26" s="3">
        <f>AVERAGE(B25:B27)</f>
        <v>367.6666667</v>
      </c>
    </row>
    <row r="27">
      <c r="A27" s="2">
        <v>43175.0</v>
      </c>
      <c r="B27" s="1">
        <v>313.0</v>
      </c>
      <c r="C27" s="1" t="s">
        <v>8</v>
      </c>
      <c r="D27" s="3"/>
    </row>
    <row r="28">
      <c r="A28" s="2">
        <v>43150.0</v>
      </c>
      <c r="B28" s="1">
        <v>211.0</v>
      </c>
      <c r="C28" s="1" t="s">
        <v>9</v>
      </c>
      <c r="D28" s="3">
        <f>SUM(B28:B33)</f>
        <v>6020</v>
      </c>
    </row>
    <row r="29">
      <c r="A29" s="2">
        <v>43152.0</v>
      </c>
      <c r="B29" s="1">
        <v>247.0</v>
      </c>
      <c r="C29" s="1" t="s">
        <v>9</v>
      </c>
      <c r="D29" s="3">
        <f>AVERAGE(B28:B33)</f>
        <v>1003.333333</v>
      </c>
    </row>
    <row r="30">
      <c r="A30" s="2">
        <v>43161.0</v>
      </c>
      <c r="B30" s="1">
        <v>825.0</v>
      </c>
      <c r="C30" s="1" t="s">
        <v>9</v>
      </c>
      <c r="D30" s="3"/>
    </row>
    <row r="31">
      <c r="A31" s="4">
        <v>43164.0</v>
      </c>
      <c r="B31" s="5">
        <v>825.0</v>
      </c>
      <c r="C31" s="5" t="s">
        <v>9</v>
      </c>
      <c r="D31" s="3"/>
    </row>
    <row r="32">
      <c r="A32" s="4">
        <v>43174.0</v>
      </c>
      <c r="B32" s="5">
        <v>1961.0</v>
      </c>
      <c r="C32" s="5" t="s">
        <v>9</v>
      </c>
      <c r="D32" s="3"/>
    </row>
    <row r="33">
      <c r="A33" s="4">
        <v>43175.0</v>
      </c>
      <c r="B33" s="5">
        <v>1951.0</v>
      </c>
      <c r="C33" s="5" t="s">
        <v>9</v>
      </c>
      <c r="D33" s="3"/>
    </row>
    <row r="34">
      <c r="A34" s="2">
        <v>43164.0</v>
      </c>
      <c r="B34" s="1">
        <v>497.0</v>
      </c>
      <c r="C34" s="1" t="s">
        <v>10</v>
      </c>
      <c r="D34" s="3">
        <f>sum(B34:B35)</f>
        <v>1090</v>
      </c>
    </row>
    <row r="35">
      <c r="A35" s="4">
        <v>43175.0</v>
      </c>
      <c r="B35" s="5">
        <v>593.0</v>
      </c>
      <c r="C35" s="5" t="s">
        <v>10</v>
      </c>
      <c r="D35" s="3">
        <f>average(B34:B35)</f>
        <v>545</v>
      </c>
    </row>
  </sheetData>
  <autoFilter ref="$A$24:$C$35">
    <sortState ref="A24:C35">
      <sortCondition descending="1" ref="C24:C35"/>
    </sortState>
  </autoFilter>
  <customSheetViews>
    <customSheetView guid="{76C42550-71BB-475F-8409-FD4BBF9A8BBF}" filter="1" showAutoFilter="1">
      <autoFilter ref="$A$1:$B$40"/>
    </customSheetView>
    <customSheetView guid="{89F67822-FEE1-4BDD-85D1-A51E3FD82BB0}" filter="1" showAutoFilter="1">
      <autoFilter ref="$A$1:$B$40">
        <sortState ref="A1:B40">
          <sortCondition ref="A1:A40"/>
        </sortState>
      </autoFilter>
    </customSheetView>
    <customSheetView guid="{952C4BE2-AB24-4E60-A6BC-58262F1B9AF2}" filter="1" showAutoFilter="1">
      <autoFilter ref="$A$3:$B$40">
        <sortState ref="A3:B40">
          <sortCondition ref="A3:A40"/>
        </sortState>
      </autoFilter>
    </customSheetView>
  </customSheetViews>
  <drawing r:id="rId1"/>
</worksheet>
</file>